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ecap" sheetId="1" state="visible" r:id="rId1"/>
  </sheets>
  <definedNames>
    <definedName name="_xlnm.Print_Area" localSheetId="0">'Recap'!$A$1:$H$66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$#,##0.00_);[Red]\(\$#,##0.00\)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4"/>
  </cellStyleXfs>
  <cellXfs count="49"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left" vertical="center"/>
    </xf>
    <xf numFmtId="9" fontId="3" fillId="6" borderId="1" applyAlignment="1" pivotButton="0" quotePrefix="0" xfId="0">
      <alignment horizontal="left" vertical="center"/>
    </xf>
    <xf numFmtId="0" fontId="3" fillId="0" borderId="4" pivotButton="0" quotePrefix="0" xfId="0"/>
    <xf numFmtId="0" fontId="6" fillId="0" borderId="1" pivotButton="0" quotePrefix="0" xfId="0"/>
    <xf numFmtId="164" fontId="6" fillId="0" borderId="1" pivotButton="0" quotePrefix="0" xfId="0"/>
    <xf numFmtId="0" fontId="5" fillId="2" borderId="6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0" fillId="0" borderId="4" pivotButton="0" quotePrefix="0" xfId="0"/>
    <xf numFmtId="0" fontId="2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center"/>
    </xf>
    <xf numFmtId="0" fontId="6" fillId="0" borderId="0" pivotButton="0" quotePrefix="0" xfId="0"/>
    <xf numFmtId="10" fontId="3" fillId="6" borderId="1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6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0" fontId="2" fillId="5" borderId="6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8" pivotButton="0" quotePrefix="0" xfId="0"/>
    <xf numFmtId="0" fontId="5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A11" authorId="0" shapeId="0">
      <text>
        <t>Stable labor mapping block. Match on Classification label in column A.</t>
      </text>
    </comment>
    <comment ref="A26" authorId="0" shapeId="0">
      <text>
        <t>Stable equipment mapping block. Match on Category label in column 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421821</colOff>
      <row>1</row>
      <rowOff>27214</rowOff>
    </from>
    <to>
      <col>0</col>
      <colOff>1164499</colOff>
      <row>4</row>
      <rowOff>168377</rowOff>
    </to>
    <pic>
      <nvPicPr>
        <cNvPr id="3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21821" y="299357"/>
          <a:ext cx="748393" cy="74776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3"/>
  <sheetViews>
    <sheetView showGridLines="0" tabSelected="1" showWhiteSpace="0" topLeftCell="A31" zoomScale="70" zoomScaleNormal="70" zoomScaleSheetLayoutView="56" zoomScalePageLayoutView="60" workbookViewId="0">
      <selection activeCell="M52" sqref="M52"/>
    </sheetView>
  </sheetViews>
  <sheetFormatPr baseColWidth="8" defaultRowHeight="14.4"/>
  <cols>
    <col width="26" customWidth="1" style="41" min="1" max="1"/>
    <col width="13.88671875" customWidth="1" style="41" min="2" max="3"/>
    <col width="14" customWidth="1" style="41" min="4" max="4"/>
    <col width="22.21875" bestFit="1" customWidth="1" style="41" min="5" max="5"/>
    <col width="16.33203125" bestFit="1" customWidth="1" style="41" min="6" max="6"/>
    <col width="23" bestFit="1" customWidth="1" style="41" min="7" max="7"/>
    <col width="21.88671875" bestFit="1" customWidth="1" style="41" min="8" max="8"/>
    <col width="22" customWidth="1" style="41" min="9" max="9"/>
    <col width="12" customWidth="1" style="41" min="10" max="10"/>
  </cols>
  <sheetData>
    <row r="1" ht="21.6" customHeight="1" s="41">
      <c r="A1" s="44" t="inlineStr">
        <is>
          <t>CHANGE ORDER RECAP</t>
        </is>
      </c>
      <c r="B1" s="38" t="n"/>
      <c r="C1" s="38" t="n"/>
      <c r="D1" s="38" t="n"/>
      <c r="E1" s="38" t="n"/>
      <c r="F1" s="38" t="n"/>
      <c r="G1" s="38" t="n"/>
      <c r="H1" s="39" t="n"/>
      <c r="I1" s="15" t="n"/>
      <c r="J1" s="15" t="n"/>
    </row>
    <row r="2" ht="16.95" customHeight="1" s="41">
      <c r="A2" s="40" t="n"/>
      <c r="B2" s="26" t="inlineStr">
        <is>
          <t>Power Line Contractors Inc</t>
        </is>
      </c>
      <c r="I2" s="15" t="n"/>
      <c r="J2" s="15" t="n"/>
    </row>
    <row r="3" ht="16.95" customHeight="1" s="41">
      <c r="B3" s="26" t="inlineStr">
        <is>
          <t>68 Industrial Way</t>
        </is>
      </c>
      <c r="I3" s="15" t="n"/>
      <c r="J3" s="15" t="n"/>
    </row>
    <row r="4" ht="16.95" customHeight="1" s="41">
      <c r="B4" s="26" t="inlineStr">
        <is>
          <t>Wilmington MA 01887</t>
        </is>
      </c>
      <c r="I4" s="15" t="n"/>
      <c r="J4" s="15" t="n"/>
    </row>
    <row r="5" ht="16.95" customHeight="1" s="41">
      <c r="A5" s="42" t="n"/>
      <c r="I5" s="15" t="n"/>
      <c r="J5" s="15" t="n"/>
    </row>
    <row r="6" ht="16.95" customHeight="1" s="41">
      <c r="A6" s="1" t="inlineStr">
        <is>
          <t>Project</t>
        </is>
      </c>
      <c r="B6" s="37" t="inlineStr">
        <is>
          <t>MBTA - On-Call Bus Infrastructure Improvements</t>
        </is>
      </c>
      <c r="C6" s="38" t="n"/>
      <c r="D6" s="39" t="n"/>
      <c r="G6" s="1" t="inlineStr">
        <is>
          <t>Job Number</t>
        </is>
      </c>
      <c r="H6" s="37" t="inlineStr">
        <is>
          <t>220459</t>
        </is>
      </c>
      <c r="I6" s="15" t="n"/>
      <c r="J6" s="15" t="n"/>
    </row>
    <row r="7" ht="16.95" customHeight="1" s="41">
      <c r="A7" s="1" t="inlineStr">
        <is>
          <t>Description</t>
        </is>
      </c>
      <c r="B7" s="37" t="n"/>
      <c r="C7" s="38" t="n"/>
      <c r="D7" s="39" t="n"/>
      <c r="G7" s="1" t="inlineStr">
        <is>
          <t>Date</t>
        </is>
      </c>
      <c r="H7" s="37" t="n"/>
      <c r="I7" s="15" t="n"/>
      <c r="J7" s="15" t="n"/>
    </row>
    <row r="8" ht="16.95" customHeight="1" s="41">
      <c r="A8" s="1" t="inlineStr">
        <is>
          <t>Prepared By</t>
        </is>
      </c>
      <c r="B8" s="37" t="n"/>
      <c r="C8" s="38" t="n"/>
      <c r="D8" s="39" t="n"/>
      <c r="G8" s="1" t="inlineStr">
        <is>
          <t>Report / CO #</t>
        </is>
      </c>
      <c r="H8" s="37" t="n"/>
      <c r="I8" s="15" t="n"/>
      <c r="J8" s="15" t="n"/>
    </row>
    <row r="9" ht="16.95" customHeight="1" s="41">
      <c r="I9" s="15" t="n"/>
      <c r="J9" s="15" t="n"/>
    </row>
    <row r="10" ht="16.95" customHeight="1" s="41">
      <c r="A10" s="43" t="inlineStr">
        <is>
          <t>LABOR</t>
        </is>
      </c>
      <c r="B10" s="38" t="n"/>
      <c r="C10" s="38" t="n"/>
      <c r="D10" s="38" t="n"/>
      <c r="E10" s="38" t="n"/>
      <c r="F10" s="38" t="n"/>
      <c r="G10" s="38" t="n"/>
      <c r="H10" s="39" t="n"/>
      <c r="I10" s="15" t="n"/>
      <c r="J10" s="15" t="n"/>
    </row>
    <row r="11" ht="16.95" customHeight="1" s="41">
      <c r="A11" s="45" t="inlineStr">
        <is>
          <t>Classification</t>
        </is>
      </c>
      <c r="B11" s="45" t="inlineStr">
        <is>
          <t>ST Hrs</t>
        </is>
      </c>
      <c r="C11" s="45" t="inlineStr">
        <is>
          <t>OT Hrs</t>
        </is>
      </c>
      <c r="D11" s="45" t="inlineStr">
        <is>
          <t>DT Hrs</t>
        </is>
      </c>
      <c r="E11" s="45" t="inlineStr">
        <is>
          <t>ST Rate</t>
        </is>
      </c>
      <c r="F11" s="45" t="inlineStr">
        <is>
          <t>OT Rate</t>
        </is>
      </c>
      <c r="G11" s="45" t="inlineStr">
        <is>
          <t>DT Rate</t>
        </is>
      </c>
      <c r="H11" s="45" t="inlineStr">
        <is>
          <t>Total</t>
        </is>
      </c>
      <c r="I11" s="15" t="n"/>
      <c r="J11" s="15" t="n"/>
    </row>
    <row r="12" ht="16.95" customHeight="1" s="41">
      <c r="A12" s="4" t="inlineStr">
        <is>
          <t>103 General FM</t>
        </is>
      </c>
      <c r="B12" s="5" t="n"/>
      <c r="C12" s="5" t="n"/>
      <c r="D12" s="5" t="n"/>
      <c r="E12" s="6" t="n">
        <v>199</v>
      </c>
      <c r="F12" s="6" t="n">
        <v>268</v>
      </c>
      <c r="G12" s="6" t="n">
        <v>338</v>
      </c>
      <c r="H12" s="7">
        <f>B12*E12+C12*F12+D12*G12</f>
        <v/>
      </c>
      <c r="I12" s="15" t="n"/>
      <c r="J12" s="15" t="n"/>
    </row>
    <row r="13" ht="16.95" customHeight="1" s="41">
      <c r="A13" s="4" t="inlineStr">
        <is>
          <t>103 Foreman</t>
        </is>
      </c>
      <c r="B13" s="5" t="n"/>
      <c r="C13" s="5" t="n"/>
      <c r="D13" s="5" t="n"/>
      <c r="E13" s="6" t="n">
        <v>188</v>
      </c>
      <c r="F13" s="6" t="n">
        <v>251</v>
      </c>
      <c r="G13" s="6" t="n">
        <v>315</v>
      </c>
      <c r="H13" s="7">
        <f>B13*E13+C13*F13+D13*G13</f>
        <v/>
      </c>
      <c r="I13" s="15" t="n"/>
      <c r="J13" s="15" t="n"/>
    </row>
    <row r="14" ht="16.95" customHeight="1" s="41">
      <c r="A14" s="4" t="inlineStr">
        <is>
          <t>103 Journeyman</t>
        </is>
      </c>
      <c r="B14" s="5" t="n"/>
      <c r="C14" s="5" t="n"/>
      <c r="D14" s="5" t="n"/>
      <c r="E14" s="6" t="n">
        <v>176</v>
      </c>
      <c r="F14" s="6" t="n">
        <v>233</v>
      </c>
      <c r="G14" s="6" t="n">
        <v>291</v>
      </c>
      <c r="H14" s="7">
        <f>B14*E14+C14*F14+D14*G14</f>
        <v/>
      </c>
      <c r="I14" s="15" t="n"/>
      <c r="J14" s="15" t="n"/>
    </row>
    <row r="15" ht="16.95" customHeight="1" s="41">
      <c r="A15" s="4" t="inlineStr">
        <is>
          <t>103 Apprentice</t>
        </is>
      </c>
      <c r="B15" s="5" t="n"/>
      <c r="C15" s="5" t="n"/>
      <c r="D15" s="5" t="n"/>
      <c r="E15" s="6" t="n">
        <v>144</v>
      </c>
      <c r="F15" s="6" t="n">
        <v>187</v>
      </c>
      <c r="G15" s="6" t="n">
        <v>231</v>
      </c>
      <c r="H15" s="7">
        <f>B15*E15+C15*F15+D15*G15</f>
        <v/>
      </c>
      <c r="I15" s="15" t="n"/>
      <c r="J15" s="15" t="n"/>
    </row>
    <row r="16" ht="16.95" customHeight="1" s="41">
      <c r="A16" s="4" t="inlineStr">
        <is>
          <t>104 General FM</t>
        </is>
      </c>
      <c r="B16" s="5" t="n"/>
      <c r="C16" s="5" t="n"/>
      <c r="D16" s="5" t="n"/>
      <c r="E16" s="6" t="n">
        <v>174</v>
      </c>
      <c r="F16" s="6" t="n">
        <v>238</v>
      </c>
      <c r="G16" s="6" t="n">
        <v>304</v>
      </c>
      <c r="H16" s="7">
        <f>B16*E16+C16*F16+D16*G16</f>
        <v/>
      </c>
      <c r="I16" s="15" t="n"/>
      <c r="J16" s="15" t="n"/>
    </row>
    <row r="17" ht="16.95" customHeight="1" s="41">
      <c r="A17" s="4" t="inlineStr">
        <is>
          <t>104 Foreman</t>
        </is>
      </c>
      <c r="B17" s="5" t="n"/>
      <c r="C17" s="5" t="n"/>
      <c r="D17" s="5" t="n"/>
      <c r="E17" s="6" t="n">
        <v>166</v>
      </c>
      <c r="F17" s="6" t="n">
        <v>227</v>
      </c>
      <c r="G17" s="6" t="n">
        <v>289</v>
      </c>
      <c r="H17" s="7">
        <f>B17*E17+C17*F17+D17*G17</f>
        <v/>
      </c>
      <c r="I17" s="15" t="n"/>
      <c r="J17" s="15" t="n"/>
    </row>
    <row r="18" ht="16.95" customHeight="1" s="41">
      <c r="A18" s="4" t="inlineStr">
        <is>
          <t>104 Lead Lineman</t>
        </is>
      </c>
      <c r="B18" s="5" t="n"/>
      <c r="C18" s="5" t="n"/>
      <c r="D18" s="5" t="n"/>
      <c r="E18" s="6" t="n">
        <v>161</v>
      </c>
      <c r="F18" s="6" t="n">
        <v>219</v>
      </c>
      <c r="G18" s="6" t="n">
        <v>278</v>
      </c>
      <c r="H18" s="7">
        <f>B18*E18+C18*F18+D18*G18</f>
        <v/>
      </c>
      <c r="I18" s="15" t="n"/>
      <c r="J18" s="15" t="n"/>
    </row>
    <row r="19" ht="16.95" customHeight="1" s="41">
      <c r="A19" s="4" t="inlineStr">
        <is>
          <t>104 Journeyman LM</t>
        </is>
      </c>
      <c r="B19" s="5" t="n"/>
      <c r="C19" s="5" t="n"/>
      <c r="D19" s="5" t="n"/>
      <c r="E19" s="6" t="n">
        <v>152</v>
      </c>
      <c r="F19" s="6" t="n">
        <v>206</v>
      </c>
      <c r="G19" s="6" t="n">
        <v>260</v>
      </c>
      <c r="H19" s="7">
        <f>B19*E19+C19*F19+D19*G19</f>
        <v/>
      </c>
      <c r="I19" s="15" t="n"/>
      <c r="J19" s="15" t="n"/>
    </row>
    <row r="20" ht="16.95" customHeight="1" s="41">
      <c r="A20" s="4" t="inlineStr">
        <is>
          <t>104 Equipment Operator</t>
        </is>
      </c>
      <c r="B20" s="5" t="n"/>
      <c r="C20" s="5" t="n"/>
      <c r="D20" s="5" t="n"/>
      <c r="E20" s="6" t="n">
        <v>132</v>
      </c>
      <c r="F20" s="6" t="n">
        <v>177</v>
      </c>
      <c r="G20" s="6" t="n">
        <v>224</v>
      </c>
      <c r="H20" s="7">
        <f>B20*E20+C20*F20+D20*G20</f>
        <v/>
      </c>
      <c r="I20" s="15" t="n"/>
      <c r="J20" s="15" t="n"/>
    </row>
    <row r="21" ht="16.95" customHeight="1" s="41">
      <c r="A21" s="4" t="inlineStr">
        <is>
          <t>104 Groundsman</t>
        </is>
      </c>
      <c r="B21" s="5" t="n"/>
      <c r="C21" s="5" t="n"/>
      <c r="D21" s="5" t="n"/>
      <c r="E21" s="6" t="n">
        <v>94</v>
      </c>
      <c r="F21" s="6" t="n">
        <v>123</v>
      </c>
      <c r="G21" s="6" t="n">
        <v>153</v>
      </c>
      <c r="H21" s="7">
        <f>B21*E21+C21*F21+D21*G21</f>
        <v/>
      </c>
      <c r="I21" s="15" t="n"/>
      <c r="J21" s="15" t="n"/>
    </row>
    <row r="22" ht="16.95" customHeight="1" s="41">
      <c r="A22" s="4" t="inlineStr">
        <is>
          <t>104 Apprentice</t>
        </is>
      </c>
      <c r="B22" s="5" t="n"/>
      <c r="C22" s="5" t="n"/>
      <c r="D22" s="5" t="n"/>
      <c r="E22" s="6" t="n">
        <v>128</v>
      </c>
      <c r="F22" s="6" t="n">
        <v>168</v>
      </c>
      <c r="G22" s="6" t="n">
        <v>209</v>
      </c>
      <c r="H22" s="7">
        <f>B22*E22+C22*F22+D22*G22</f>
        <v/>
      </c>
      <c r="I22" s="15" t="n"/>
      <c r="J22" s="15" t="n"/>
    </row>
    <row r="23" ht="16.95" customHeight="1" s="41">
      <c r="A23" s="8" t="inlineStr">
        <is>
          <t>Labor Total</t>
        </is>
      </c>
      <c r="B23" s="9" t="n"/>
      <c r="C23" s="9" t="n"/>
      <c r="D23" s="9" t="n"/>
      <c r="E23" s="9" t="n"/>
      <c r="F23" s="9" t="n"/>
      <c r="G23" s="9" t="n"/>
      <c r="H23" s="10">
        <f>SUM(H12:H22)</f>
        <v/>
      </c>
      <c r="I23" s="15" t="n"/>
      <c r="J23" s="15" t="n"/>
    </row>
    <row r="24" ht="16.95" customHeight="1" s="41">
      <c r="I24" s="15" t="n"/>
      <c r="J24" s="15" t="n"/>
    </row>
    <row r="25" ht="16.95" customHeight="1" s="41">
      <c r="A25" s="18" t="inlineStr">
        <is>
          <t>EQUIPMENT</t>
        </is>
      </c>
      <c r="B25" s="19" t="n"/>
      <c r="C25" s="19" t="n"/>
      <c r="D25" s="19" t="n"/>
      <c r="E25" s="19" t="n"/>
      <c r="F25" s="21" t="n"/>
      <c r="G25" s="18" t="inlineStr">
        <is>
          <t>MATERIALS</t>
        </is>
      </c>
      <c r="H25" s="25" t="n"/>
      <c r="I25" s="28" t="n"/>
      <c r="J25" s="15" t="n"/>
    </row>
    <row r="26" ht="16.95" customHeight="1" s="41">
      <c r="A26" s="45" t="inlineStr">
        <is>
          <t>Category</t>
        </is>
      </c>
      <c r="B26" s="45" t="inlineStr">
        <is>
          <t>Hours / Qty</t>
        </is>
      </c>
      <c r="C26" s="45" t="inlineStr">
        <is>
          <t>Unit</t>
        </is>
      </c>
      <c r="D26" s="45" t="inlineStr">
        <is>
          <t>Rate</t>
        </is>
      </c>
      <c r="E26" s="45" t="inlineStr">
        <is>
          <t>Total</t>
        </is>
      </c>
      <c r="F26" s="24" t="n"/>
      <c r="G26" s="45" t="inlineStr">
        <is>
          <t>Vendor</t>
        </is>
      </c>
      <c r="H26" s="45" t="inlineStr">
        <is>
          <t>Amount</t>
        </is>
      </c>
      <c r="I26" s="22" t="n"/>
      <c r="J26" s="15" t="n"/>
    </row>
    <row r="27" ht="16.95" customHeight="1" s="41">
      <c r="A27" s="4" t="inlineStr">
        <is>
          <t>Excavator/ Drill Rig</t>
        </is>
      </c>
      <c r="B27" s="5" t="n"/>
      <c r="C27" s="11" t="inlineStr">
        <is>
          <t>HRS</t>
        </is>
      </c>
      <c r="D27" s="6" t="n">
        <v>300</v>
      </c>
      <c r="E27" s="7">
        <f>B27*D27</f>
        <v/>
      </c>
      <c r="F27" s="21" t="n"/>
      <c r="G27" s="4" t="inlineStr">
        <is>
          <t>Fiber Instrument Sal</t>
        </is>
      </c>
      <c r="H27" s="12" t="n">
        <v>658.79</v>
      </c>
      <c r="I27" s="29" t="n"/>
      <c r="J27" s="15" t="n"/>
    </row>
    <row r="28" ht="16.95" customHeight="1" s="41">
      <c r="A28" s="4" t="inlineStr">
        <is>
          <t>Bucket Truck</t>
        </is>
      </c>
      <c r="B28" s="5" t="n"/>
      <c r="C28" s="11" t="inlineStr">
        <is>
          <t>HRS</t>
        </is>
      </c>
      <c r="D28" s="6" t="n">
        <v>80</v>
      </c>
      <c r="E28" s="7">
        <f>B28*D28</f>
        <v/>
      </c>
      <c r="F28" s="21" t="n"/>
      <c r="G28" s="4" t="inlineStr">
        <is>
          <t>Graybar Electric Co.</t>
        </is>
      </c>
      <c r="H28" s="12" t="n">
        <v>65</v>
      </c>
      <c r="I28" s="29" t="n"/>
      <c r="J28" s="15" t="n"/>
    </row>
    <row r="29" ht="16.95" customHeight="1" s="41">
      <c r="A29" s="4" t="inlineStr">
        <is>
          <t>Digger Derrick</t>
        </is>
      </c>
      <c r="B29" s="5" t="n"/>
      <c r="C29" s="11" t="inlineStr">
        <is>
          <t>HRS</t>
        </is>
      </c>
      <c r="D29" s="6" t="n">
        <v>80</v>
      </c>
      <c r="E29" s="7">
        <f>B29*D29</f>
        <v/>
      </c>
      <c r="F29" s="21" t="n"/>
      <c r="G29" s="4" t="inlineStr">
        <is>
          <t>Yale Electric</t>
        </is>
      </c>
      <c r="H29" s="12" t="n">
        <v>2442.19</v>
      </c>
      <c r="I29" s="29" t="n"/>
      <c r="J29" s="15" t="n"/>
    </row>
    <row r="30" ht="16.95" customHeight="1" s="41">
      <c r="A30" s="4" t="inlineStr">
        <is>
          <t>Backyard Machine</t>
        </is>
      </c>
      <c r="B30" s="5" t="n"/>
      <c r="C30" s="11" t="inlineStr">
        <is>
          <t>HRS</t>
        </is>
      </c>
      <c r="D30" s="6" t="n">
        <v>75</v>
      </c>
      <c r="E30" s="7">
        <f>B30*D30</f>
        <v/>
      </c>
      <c r="F30" s="21" t="n"/>
      <c r="G30" s="4" t="n"/>
      <c r="H30" s="12" t="n"/>
      <c r="I30" s="29" t="n"/>
      <c r="J30" s="15" t="n"/>
    </row>
    <row r="31" ht="16.95" customHeight="1" s="41">
      <c r="A31" s="4" t="inlineStr">
        <is>
          <t>3-Reel Trailer</t>
        </is>
      </c>
      <c r="B31" s="5" t="n"/>
      <c r="C31" s="11" t="inlineStr">
        <is>
          <t>HRS</t>
        </is>
      </c>
      <c r="D31" s="6" t="n">
        <v>20</v>
      </c>
      <c r="E31" s="7">
        <f>B31*D31</f>
        <v/>
      </c>
      <c r="F31" s="21" t="n"/>
      <c r="G31" s="4" t="n"/>
      <c r="H31" s="12" t="n"/>
      <c r="I31" s="29" t="n"/>
      <c r="J31" s="15" t="n"/>
    </row>
    <row r="32" ht="16.95" customHeight="1" s="41">
      <c r="A32" s="4" t="inlineStr">
        <is>
          <t>Pick-up Truck</t>
        </is>
      </c>
      <c r="B32" s="5" t="n"/>
      <c r="C32" s="11" t="inlineStr">
        <is>
          <t>HRS</t>
        </is>
      </c>
      <c r="D32" s="6" t="n">
        <v>34</v>
      </c>
      <c r="E32" s="7">
        <f>B32*D32</f>
        <v/>
      </c>
      <c r="F32" s="21" t="n"/>
      <c r="G32" s="4" t="n"/>
      <c r="H32" s="12" t="n"/>
      <c r="I32" s="29" t="n"/>
      <c r="J32" s="15" t="n"/>
    </row>
    <row r="33" ht="16.95" customHeight="1" s="41">
      <c r="A33" s="4" t="inlineStr">
        <is>
          <t>Utility Van</t>
        </is>
      </c>
      <c r="B33" s="5" t="n"/>
      <c r="C33" s="11" t="inlineStr">
        <is>
          <t>HRS</t>
        </is>
      </c>
      <c r="D33" s="6" t="n">
        <v>35</v>
      </c>
      <c r="E33" s="7">
        <f>B33*D33</f>
        <v/>
      </c>
      <c r="F33" s="21" t="n"/>
      <c r="G33" s="4" t="n"/>
      <c r="H33" s="12" t="n"/>
      <c r="I33" s="29" t="n"/>
      <c r="J33" s="15" t="n"/>
    </row>
    <row r="34" ht="16.95" customHeight="1" s="41">
      <c r="A34" s="4" t="inlineStr">
        <is>
          <t>Winch Truck</t>
        </is>
      </c>
      <c r="B34" s="5" t="n"/>
      <c r="C34" s="11" t="inlineStr">
        <is>
          <t>HRS</t>
        </is>
      </c>
      <c r="D34" s="6" t="n">
        <v>80</v>
      </c>
      <c r="E34" s="7">
        <f>B34*D34</f>
        <v/>
      </c>
      <c r="F34" s="21" t="n"/>
      <c r="G34" s="4" t="n"/>
      <c r="H34" s="12" t="n"/>
      <c r="I34" s="21" t="n"/>
      <c r="J34" s="15" t="n"/>
    </row>
    <row r="35" ht="16.95" customHeight="1" s="41">
      <c r="A35" s="4" t="inlineStr">
        <is>
          <t>Load Lugger</t>
        </is>
      </c>
      <c r="B35" s="5" t="n"/>
      <c r="C35" s="11" t="inlineStr">
        <is>
          <t>HRS</t>
        </is>
      </c>
      <c r="D35" s="6" t="n">
        <v>80</v>
      </c>
      <c r="E35" s="7">
        <f>B35*D35</f>
        <v/>
      </c>
      <c r="F35" s="21" t="n"/>
      <c r="G35" s="4" t="n"/>
      <c r="H35" s="12" t="n"/>
      <c r="I35" s="15" t="n"/>
      <c r="J35" s="15" t="n"/>
    </row>
    <row r="36" ht="16.95" customHeight="1" s="41">
      <c r="A36" s="4" t="inlineStr">
        <is>
          <t>Power Fed Trailer</t>
        </is>
      </c>
      <c r="B36" s="5" t="n"/>
      <c r="C36" s="11" t="inlineStr">
        <is>
          <t>HRS</t>
        </is>
      </c>
      <c r="D36" s="6" t="n">
        <v>55</v>
      </c>
      <c r="E36" s="7">
        <f>B36*D36</f>
        <v/>
      </c>
      <c r="F36" s="21" t="n"/>
      <c r="G36" s="4" t="n"/>
      <c r="H36" s="12" t="n"/>
      <c r="I36" s="15" t="n"/>
      <c r="J36" s="15" t="n"/>
    </row>
    <row r="37" ht="16.95" customHeight="1" s="41">
      <c r="A37" s="4" t="inlineStr">
        <is>
          <t>1-Reel Trailer</t>
        </is>
      </c>
      <c r="B37" s="5" t="n"/>
      <c r="C37" s="11" t="inlineStr">
        <is>
          <t>HRS</t>
        </is>
      </c>
      <c r="D37" s="6" t="n">
        <v>25</v>
      </c>
      <c r="E37" s="7">
        <f>B37*D37</f>
        <v/>
      </c>
      <c r="F37" s="21" t="n"/>
      <c r="G37" s="4" t="n"/>
      <c r="H37" s="12" t="n"/>
      <c r="I37" s="15" t="n"/>
      <c r="J37" s="15" t="n"/>
    </row>
    <row r="38" ht="16.95" customHeight="1" s="41">
      <c r="A38" s="4" t="inlineStr">
        <is>
          <t>Boom Truck</t>
        </is>
      </c>
      <c r="B38" s="5" t="n"/>
      <c r="C38" s="11" t="inlineStr">
        <is>
          <t>HRS</t>
        </is>
      </c>
      <c r="D38" s="6" t="n">
        <v>125</v>
      </c>
      <c r="E38" s="7">
        <f>B38*D38</f>
        <v/>
      </c>
      <c r="F38" s="21" t="n"/>
      <c r="G38" s="4" t="n"/>
      <c r="H38" s="12" t="n"/>
      <c r="I38" s="15" t="n"/>
      <c r="J38" s="15" t="n"/>
    </row>
    <row r="39" ht="16.95" customHeight="1" s="41">
      <c r="A39" s="4" t="inlineStr">
        <is>
          <t>Box Truck</t>
        </is>
      </c>
      <c r="B39" s="5" t="n"/>
      <c r="C39" s="11" t="inlineStr">
        <is>
          <t>HRS</t>
        </is>
      </c>
      <c r="D39" s="6" t="n">
        <v>32</v>
      </c>
      <c r="E39" s="7">
        <f>B39*D39</f>
        <v/>
      </c>
      <c r="F39" s="21" t="n"/>
      <c r="G39" s="4" t="n"/>
      <c r="H39" s="12" t="n"/>
      <c r="I39" s="15" t="n"/>
      <c r="J39" s="15" t="n"/>
    </row>
    <row r="40" ht="16.95" customHeight="1" s="41">
      <c r="A40" s="4" t="inlineStr">
        <is>
          <t>Pulling/Tension Trailer</t>
        </is>
      </c>
      <c r="B40" s="5" t="n"/>
      <c r="C40" s="11" t="inlineStr">
        <is>
          <t>HRS</t>
        </is>
      </c>
      <c r="D40" s="6" t="n">
        <v>60</v>
      </c>
      <c r="E40" s="7">
        <f>B40*D40</f>
        <v/>
      </c>
      <c r="F40" s="21" t="n"/>
      <c r="G40" s="4" t="n"/>
      <c r="H40" s="12" t="n"/>
      <c r="I40" s="15" t="n"/>
      <c r="J40" s="15" t="n"/>
    </row>
    <row r="41" ht="16.95" customHeight="1" s="41">
      <c r="A41" s="4" t="inlineStr">
        <is>
          <t>Pole Trailer</t>
        </is>
      </c>
      <c r="B41" s="5" t="n"/>
      <c r="C41" s="11" t="inlineStr">
        <is>
          <t>HRS</t>
        </is>
      </c>
      <c r="D41" s="6" t="n">
        <v>33</v>
      </c>
      <c r="E41" s="7">
        <f>B41*D41</f>
        <v/>
      </c>
      <c r="F41" s="21" t="n"/>
      <c r="G41" s="4" t="n"/>
      <c r="H41" s="12" t="n"/>
      <c r="I41" s="21" t="n"/>
    </row>
    <row r="42" ht="16.95" customHeight="1" s="41">
      <c r="A42" s="8" t="inlineStr">
        <is>
          <t>Equipment Total</t>
        </is>
      </c>
      <c r="B42" s="9" t="n"/>
      <c r="C42" s="9" t="n"/>
      <c r="D42" s="9" t="n"/>
      <c r="E42" s="10">
        <f>SUM(E27:E41)</f>
        <v/>
      </c>
      <c r="F42" s="24" t="n"/>
      <c r="G42" s="16" t="inlineStr">
        <is>
          <t>Material Subtotal</t>
        </is>
      </c>
      <c r="H42" s="17">
        <f>SUM(H27:H41)</f>
        <v/>
      </c>
    </row>
    <row r="43" ht="16.95" customHeight="1" s="41">
      <c r="F43" s="21" t="n"/>
      <c r="G43" s="21" t="n"/>
      <c r="H43" s="21" t="n"/>
    </row>
    <row r="44" ht="16.95" customHeight="1" s="41">
      <c r="A44" s="18" t="inlineStr">
        <is>
          <t>SUBCONTRACTORS</t>
        </is>
      </c>
      <c r="B44" s="25" t="n"/>
      <c r="C44" s="25" t="n"/>
    </row>
    <row r="45" ht="16.95" customHeight="1" s="41">
      <c r="A45" s="45" t="inlineStr">
        <is>
          <t>Subcontractor Name</t>
        </is>
      </c>
      <c r="B45" s="39" t="n"/>
      <c r="C45" s="45" t="inlineStr">
        <is>
          <t>Amount</t>
        </is>
      </c>
    </row>
    <row r="46" ht="16.95" customHeight="1" s="41">
      <c r="A46" s="4" t="n"/>
      <c r="B46" s="39" t="n"/>
      <c r="C46" s="7" t="n"/>
    </row>
    <row r="47" ht="16.95" customHeight="1" s="41">
      <c r="A47" s="4" t="n"/>
      <c r="B47" s="39" t="n"/>
      <c r="C47" s="7" t="n"/>
    </row>
    <row r="48" ht="16.95" customHeight="1" s="41">
      <c r="A48" s="4" t="n"/>
      <c r="B48" s="39" t="n"/>
      <c r="C48" s="7" t="n"/>
    </row>
    <row r="49" ht="16.95" customHeight="1" s="41">
      <c r="A49" s="4" t="n"/>
      <c r="B49" s="39" t="n"/>
      <c r="C49" s="7" t="n"/>
    </row>
    <row r="50" ht="16.95" customHeight="1" s="41">
      <c r="A50" s="4" t="n"/>
      <c r="B50" s="39" t="n"/>
      <c r="C50" s="7" t="n"/>
      <c r="E50" s="18" t="inlineStr">
        <is>
          <t>SUMMARY &amp; MARKUP</t>
        </is>
      </c>
      <c r="F50" s="19" t="n"/>
      <c r="G50" s="19" t="n"/>
      <c r="H50" s="19" t="n"/>
    </row>
    <row r="51" ht="16.95" customHeight="1" s="41">
      <c r="A51" s="48" t="inlineStr">
        <is>
          <t>Subcontractor Subtotal</t>
        </is>
      </c>
      <c r="B51" s="39" t="n"/>
      <c r="C51" s="20">
        <f>SUM(C46:C50)</f>
        <v/>
      </c>
      <c r="E51" s="45" t="inlineStr">
        <is>
          <t>Category</t>
        </is>
      </c>
      <c r="F51" s="45" t="inlineStr">
        <is>
          <t>Amount</t>
        </is>
      </c>
      <c r="G51" s="45" t="inlineStr">
        <is>
          <t>Control</t>
        </is>
      </c>
      <c r="H51" s="45" t="inlineStr">
        <is>
          <t>Value</t>
        </is>
      </c>
    </row>
    <row r="52" ht="16.95" customHeight="1" s="41">
      <c r="E52" s="4" t="inlineStr">
        <is>
          <t>Labor Total</t>
        </is>
      </c>
      <c r="F52" s="13">
        <f>H23</f>
        <v/>
      </c>
      <c r="G52" s="4" t="inlineStr">
        <is>
          <t>Material Markup %</t>
        </is>
      </c>
      <c r="H52" s="14" t="n">
        <v>0</v>
      </c>
    </row>
    <row r="53" ht="16.95" customHeight="1" s="41">
      <c r="A53" s="46" t="inlineStr">
        <is>
          <t>PERMITS &amp; FEES</t>
        </is>
      </c>
      <c r="B53" s="42" t="n"/>
      <c r="C53" s="42" t="n"/>
      <c r="E53" s="4" t="inlineStr">
        <is>
          <t>Equipment Total</t>
        </is>
      </c>
      <c r="F53" s="13">
        <f>E42</f>
        <v/>
      </c>
      <c r="G53" s="4" t="inlineStr">
        <is>
          <t>Material Markup</t>
        </is>
      </c>
      <c r="H53" s="13">
        <f>H42*H52</f>
        <v/>
      </c>
    </row>
    <row r="54" ht="16.95" customHeight="1" s="41">
      <c r="A54" s="45" t="inlineStr">
        <is>
          <t>Description</t>
        </is>
      </c>
      <c r="B54" s="39" t="n"/>
      <c r="C54" s="45" t="inlineStr">
        <is>
          <t>Amount</t>
        </is>
      </c>
      <c r="E54" s="4" t="inlineStr">
        <is>
          <t>Material Total</t>
        </is>
      </c>
      <c r="F54" s="13">
        <f>H54</f>
        <v/>
      </c>
      <c r="G54" s="4" t="inlineStr">
        <is>
          <t>Material Total</t>
        </is>
      </c>
      <c r="H54" s="13">
        <f>H42+H53</f>
        <v/>
      </c>
    </row>
    <row r="55" ht="16.95" customHeight="1" s="41">
      <c r="A55" s="4" t="n"/>
      <c r="B55" s="39" t="n"/>
      <c r="C55" s="7" t="n"/>
      <c r="E55" s="4" t="inlineStr">
        <is>
          <t>Sales Tax</t>
        </is>
      </c>
      <c r="F55" s="13">
        <f>H61</f>
        <v/>
      </c>
      <c r="G55" s="4" t="n"/>
      <c r="H55" s="4" t="n"/>
    </row>
    <row r="56" ht="16.95" customHeight="1" s="41">
      <c r="A56" s="4" t="n"/>
      <c r="B56" s="39" t="n"/>
      <c r="C56" s="7" t="n"/>
      <c r="E56" s="4" t="inlineStr">
        <is>
          <t>Subcontractor Total</t>
        </is>
      </c>
      <c r="F56" s="13">
        <f>H58</f>
        <v/>
      </c>
      <c r="G56" s="4" t="inlineStr">
        <is>
          <t>Subcontractor Markup %</t>
        </is>
      </c>
      <c r="H56" s="14" t="n">
        <v>0</v>
      </c>
    </row>
    <row r="57" ht="16.95" customHeight="1" s="41">
      <c r="A57" s="48" t="inlineStr">
        <is>
          <t>Permits &amp; Fees Total</t>
        </is>
      </c>
      <c r="B57" s="39" t="n"/>
      <c r="C57" s="20">
        <f>SUM(C55:C56)</f>
        <v/>
      </c>
      <c r="E57" s="4" t="inlineStr">
        <is>
          <t>Permits &amp; Fees Total</t>
        </is>
      </c>
      <c r="F57" s="13">
        <f>C57</f>
        <v/>
      </c>
      <c r="G57" s="4" t="inlineStr">
        <is>
          <t>Subcontractor Markup</t>
        </is>
      </c>
      <c r="H57" s="13">
        <f>C51*H56</f>
        <v/>
      </c>
    </row>
    <row r="58" ht="16.95" customHeight="1" s="41">
      <c r="E58" s="4" t="inlineStr">
        <is>
          <t>Police Detail Total</t>
        </is>
      </c>
      <c r="F58" s="13">
        <f>C63</f>
        <v/>
      </c>
      <c r="G58" s="4" t="inlineStr">
        <is>
          <t>Subcontractor Total</t>
        </is>
      </c>
      <c r="H58" s="13">
        <f>C51+H57</f>
        <v/>
      </c>
    </row>
    <row r="59" ht="16.95" customHeight="1" s="41">
      <c r="A59" s="46" t="inlineStr">
        <is>
          <t>POLICE DETAIL</t>
        </is>
      </c>
      <c r="B59" s="42" t="n"/>
      <c r="C59" s="42" t="n"/>
      <c r="E59" s="30" t="inlineStr">
        <is>
          <t>Project Management</t>
        </is>
      </c>
      <c r="F59" s="13" t="n"/>
      <c r="G59" s="7" t="n"/>
      <c r="H59" s="30" t="n"/>
    </row>
    <row r="60" ht="16.95" customHeight="1" s="41">
      <c r="A60" s="45" t="inlineStr">
        <is>
          <t>Description</t>
        </is>
      </c>
      <c r="B60" s="39" t="n"/>
      <c r="C60" s="45" t="inlineStr">
        <is>
          <t>Amount</t>
        </is>
      </c>
      <c r="E60" s="30" t="n"/>
      <c r="F60" s="13" t="n"/>
      <c r="G60" s="4" t="inlineStr">
        <is>
          <t>Tax Rate</t>
        </is>
      </c>
      <c r="H60" s="27" t="n">
        <v>0</v>
      </c>
    </row>
    <row r="61" ht="16.95" customHeight="1" s="41">
      <c r="A61" s="4" t="n"/>
      <c r="B61" s="39" t="n"/>
      <c r="C61" s="7" t="n"/>
      <c r="E61" s="30" t="n"/>
      <c r="F61" s="13" t="n"/>
      <c r="G61" s="4" t="inlineStr">
        <is>
          <t>Tax Amount</t>
        </is>
      </c>
      <c r="H61" s="13">
        <f>H54*H60</f>
        <v/>
      </c>
    </row>
    <row r="62" ht="16.95" customHeight="1" s="41">
      <c r="A62" s="4" t="n"/>
      <c r="B62" s="39" t="n"/>
      <c r="C62" s="7" t="n"/>
      <c r="E62" s="30" t="n"/>
      <c r="F62" s="13" t="n"/>
      <c r="G62" s="30" t="n"/>
      <c r="H62" s="30" t="n"/>
    </row>
    <row r="63" ht="16.95" customHeight="1" s="41">
      <c r="A63" s="48" t="inlineStr">
        <is>
          <t>Police Detail Total</t>
        </is>
      </c>
      <c r="B63" s="39" t="n"/>
      <c r="C63" s="20">
        <f>SUM(C61:C62)</f>
        <v/>
      </c>
      <c r="E63" s="16" t="inlineStr">
        <is>
          <t>Grand Total</t>
        </is>
      </c>
      <c r="F63" s="17">
        <f>SUM(F52:F62)</f>
        <v/>
      </c>
      <c r="G63" s="30" t="n"/>
      <c r="H63" s="30" t="n"/>
    </row>
    <row r="64" ht="16.95" customHeight="1" s="41"/>
    <row r="65" ht="16.95" customHeight="1" s="41">
      <c r="A65" s="45" t="n"/>
      <c r="B65" s="38" t="n"/>
      <c r="C65" s="38" t="n"/>
      <c r="D65" s="38" t="n"/>
      <c r="E65" s="38" t="n"/>
      <c r="F65" s="38" t="n"/>
      <c r="G65" s="38" t="n"/>
      <c r="H65" s="39" t="n"/>
    </row>
    <row r="66" ht="16.95" customHeight="1" s="41"/>
    <row r="67" ht="16.95" customHeight="1" s="41"/>
    <row r="68" ht="17.7" customHeight="1" s="41">
      <c r="B68" s="21" t="n"/>
      <c r="C68" s="22" t="n"/>
    </row>
    <row r="69" ht="17.7" customHeight="1" s="41">
      <c r="B69" s="21" t="n"/>
      <c r="C69" s="23" t="n"/>
    </row>
    <row r="70" ht="17.7" customHeight="1" s="41">
      <c r="B70" s="21" t="n"/>
      <c r="C70" s="23" t="n"/>
    </row>
    <row r="71" ht="17.7" customHeight="1" s="41">
      <c r="B71" s="21" t="n"/>
      <c r="C71" s="21" t="n"/>
    </row>
    <row r="72" ht="17.7" customHeight="1" s="41"/>
    <row r="73" ht="17.7" customHeight="1" s="41">
      <c r="I73" s="21" t="n"/>
      <c r="J73" s="21" t="n"/>
    </row>
  </sheetData>
  <mergeCells count="24">
    <mergeCell ref="A48:B48"/>
    <mergeCell ref="A60:B60"/>
    <mergeCell ref="B8:D8"/>
    <mergeCell ref="A51:B51"/>
    <mergeCell ref="A49:B49"/>
    <mergeCell ref="A45:B45"/>
    <mergeCell ref="A1:H1"/>
    <mergeCell ref="A61:B61"/>
    <mergeCell ref="A54:B54"/>
    <mergeCell ref="A65:H65"/>
    <mergeCell ref="A46:B46"/>
    <mergeCell ref="A53:C53"/>
    <mergeCell ref="A56:B56"/>
    <mergeCell ref="B6:D6"/>
    <mergeCell ref="A55:B55"/>
    <mergeCell ref="A50:B50"/>
    <mergeCell ref="A57:B57"/>
    <mergeCell ref="A2:A5"/>
    <mergeCell ref="A47:B47"/>
    <mergeCell ref="A59:C59"/>
    <mergeCell ref="B7:D7"/>
    <mergeCell ref="A62:B62"/>
    <mergeCell ref="A63:B63"/>
    <mergeCell ref="A10:H10"/>
  </mergeCells>
  <dataValidations count="1">
    <dataValidation sqref="H52 H56" showDropDown="0" showInputMessage="0" showErrorMessage="0" allowBlank="0" error="Choose a markup from the dropdown list." prompt="Select markup percentage" type="list">
      <formula1>"0%,5%,10%,12%,15%,20%,25%,30%,35%"</formula1>
    </dataValidation>
  </dataValidations>
  <printOptions horizontalCentered="1"/>
  <pageMargins left="0.25" right="0.25" top="0.4" bottom="0.4" header="0.2" footer="0.2"/>
  <pageSetup orientation="portrait" scale="63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2026-03-25T20:30:39Z</dcterms:created>
  <dcterms:modified xsi:type="dcterms:W3CDTF">2026-04-05T22:07:05Z</dcterms:modified>
  <cp:lastModifiedBy>Ryan Cogan</cp:lastModifiedBy>
  <cp:lastPrinted>2026-03-25T22:15:04Z</cp:lastPrinted>
</cp:coreProperties>
</file>