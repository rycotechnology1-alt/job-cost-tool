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eccorp-my.sharepoint.com/personal/rcogan_plc-inc_com/Documents/_Take Home Job Folders/AI Recap Tests/"/>
    </mc:Choice>
  </mc:AlternateContent>
  <xr:revisionPtr revIDLastSave="5" documentId="8_{7476F15B-9AB5-451F-BC95-72508FD2C45E}" xr6:coauthVersionLast="47" xr6:coauthVersionMax="47" xr10:uidLastSave="{41C4E388-3A12-4E98-8679-88B62B15365C}"/>
  <bookViews>
    <workbookView xWindow="28680" yWindow="-120" windowWidth="29040" windowHeight="15720" xr2:uid="{00000000-000D-0000-FFFF-FFFF00000000}"/>
  </bookViews>
  <sheets>
    <sheet name="Recap" sheetId="1" r:id="rId1"/>
  </sheets>
  <definedNames>
    <definedName name="_xlnm.Print_Area" localSheetId="0">Recap!$A$1:$H$67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C65" i="1"/>
  <c r="F64" i="1"/>
  <c r="C59" i="1"/>
  <c r="F63" i="1" s="1"/>
  <c r="B53" i="1"/>
  <c r="G51" i="1"/>
  <c r="H60" i="1" s="1"/>
  <c r="F61" i="1" s="1"/>
  <c r="E41" i="1"/>
  <c r="E40" i="1"/>
  <c r="E39" i="1"/>
  <c r="E42" i="1" s="1"/>
  <c r="F56" i="1" s="1"/>
  <c r="E38" i="1"/>
  <c r="E37" i="1"/>
  <c r="E36" i="1"/>
  <c r="E35" i="1"/>
  <c r="E34" i="1"/>
  <c r="E33" i="1"/>
  <c r="E32" i="1"/>
  <c r="E31" i="1"/>
  <c r="E30" i="1"/>
  <c r="E29" i="1"/>
  <c r="E28" i="1"/>
  <c r="E27" i="1"/>
  <c r="H22" i="1"/>
  <c r="H21" i="1"/>
  <c r="H20" i="1"/>
  <c r="H19" i="1"/>
  <c r="H18" i="1"/>
  <c r="H17" i="1"/>
  <c r="H16" i="1"/>
  <c r="H23" i="1" s="1"/>
  <c r="H15" i="1"/>
  <c r="H14" i="1"/>
  <c r="H13" i="1"/>
  <c r="H12" i="1"/>
  <c r="H57" i="1" l="1"/>
  <c r="F59" i="1" s="1"/>
  <c r="F60" i="1"/>
  <c r="H61" i="1"/>
  <c r="F62" i="1" s="1"/>
  <c r="H56" i="1"/>
  <c r="F58" i="1" s="1"/>
  <c r="F57" i="1"/>
  <c r="F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labor mapping block. Match on Classification label in column A.</t>
        </r>
      </text>
    </comment>
    <comment ref="A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Stable equipment mapping block. Match on Category label in column A.</t>
        </r>
      </text>
    </comment>
  </commentList>
</comments>
</file>

<file path=xl/sharedStrings.xml><?xml version="1.0" encoding="utf-8"?>
<sst xmlns="http://schemas.openxmlformats.org/spreadsheetml/2006/main" count="108" uniqueCount="75">
  <si>
    <t>CHANGE ORDER RECAP</t>
  </si>
  <si>
    <t>Power Line Contractors Inc</t>
  </si>
  <si>
    <t>68 Industrial Way</t>
  </si>
  <si>
    <t>Wilmington MA 01887</t>
  </si>
  <si>
    <t>Project</t>
  </si>
  <si>
    <t>Job Number</t>
  </si>
  <si>
    <t>Description</t>
  </si>
  <si>
    <t>Date</t>
  </si>
  <si>
    <t>Prepared By</t>
  </si>
  <si>
    <t>Report / CO #</t>
  </si>
  <si>
    <t>LABOR</t>
  </si>
  <si>
    <t>Classification</t>
  </si>
  <si>
    <t>ST Hrs</t>
  </si>
  <si>
    <t>OT Hrs</t>
  </si>
  <si>
    <t>DT Hrs</t>
  </si>
  <si>
    <t>ST Rate</t>
  </si>
  <si>
    <t>OT Rate</t>
  </si>
  <si>
    <t>DT Rate</t>
  </si>
  <si>
    <t>Total</t>
  </si>
  <si>
    <t>103 General FM</t>
  </si>
  <si>
    <t>103 Foreman</t>
  </si>
  <si>
    <t>103 Journeyman</t>
  </si>
  <si>
    <t>103 Apprentice</t>
  </si>
  <si>
    <t>104 General FM</t>
  </si>
  <si>
    <t>104 Foreman</t>
  </si>
  <si>
    <t>104 Lead Lineman</t>
  </si>
  <si>
    <t>104 Journeyman LM</t>
  </si>
  <si>
    <t>104 Equipment Operator</t>
  </si>
  <si>
    <t>104 Groundsman</t>
  </si>
  <si>
    <t>104 Apprentice</t>
  </si>
  <si>
    <t>Labor Total</t>
  </si>
  <si>
    <t>EQUIPMENT</t>
  </si>
  <si>
    <t>Category</t>
  </si>
  <si>
    <t>Hours / Qty</t>
  </si>
  <si>
    <t>Unit</t>
  </si>
  <si>
    <t>Rate</t>
  </si>
  <si>
    <t>Excavator/ Drill Rig</t>
  </si>
  <si>
    <t>HRS</t>
  </si>
  <si>
    <t>Bucket Truck</t>
  </si>
  <si>
    <t>Digger Derrick</t>
  </si>
  <si>
    <t>Backyard Machine</t>
  </si>
  <si>
    <t>3-Reel Trailer</t>
  </si>
  <si>
    <t>Pick-up Truck</t>
  </si>
  <si>
    <t>Utility Van</t>
  </si>
  <si>
    <t>Winch Truck</t>
  </si>
  <si>
    <t>Load Lugger</t>
  </si>
  <si>
    <t>Power Fed Trailer</t>
  </si>
  <si>
    <t>1-Reel Trailer</t>
  </si>
  <si>
    <t>Boom Truck</t>
  </si>
  <si>
    <t>Test Truck</t>
  </si>
  <si>
    <t>Pulling/Tension Trailer</t>
  </si>
  <si>
    <t>Pole Trailer</t>
  </si>
  <si>
    <t>Equipment Total</t>
  </si>
  <si>
    <t>MATERIALS</t>
  </si>
  <si>
    <t>SUBCONTRACTORS</t>
  </si>
  <si>
    <t>Vendor</t>
  </si>
  <si>
    <t>Amount</t>
  </si>
  <si>
    <t>Subcontractor Name</t>
  </si>
  <si>
    <t>Subcontractor Subtotal</t>
  </si>
  <si>
    <t>Material Subtotal</t>
  </si>
  <si>
    <t>SUMMARY &amp; MARKUP</t>
  </si>
  <si>
    <t>Control</t>
  </si>
  <si>
    <t>Value</t>
  </si>
  <si>
    <t>PERMITS &amp; FEES</t>
  </si>
  <si>
    <t>Material Markup %</t>
  </si>
  <si>
    <t>Material Markup</t>
  </si>
  <si>
    <t>Material Total</t>
  </si>
  <si>
    <t>Permits &amp; Fees Total</t>
  </si>
  <si>
    <t>Subcontractor Markup %</t>
  </si>
  <si>
    <t>Subcontractor Markup</t>
  </si>
  <si>
    <t>POLICE DETAIL</t>
  </si>
  <si>
    <t>Subcontractor Total</t>
  </si>
  <si>
    <t>Police Detail Total</t>
  </si>
  <si>
    <t>Grand Total</t>
  </si>
  <si>
    <t>Clean recap report. Python populates cost sections; users may update project header fields and markup selections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</si>
</sst>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[Red]\(\$#,##0.00\)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4"/>
  </cellStyleXfs>
  <cellXfs count="44">
    <xf numFmtId="0" fontId="0" fillId="0" borderId="0" xfId="0" applyBorder="1"/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left" vertical="center"/>
    </xf>
    <xf numFmtId="9" fontId="3" fillId="6" borderId="1" xfId="0" applyNumberFormat="1" applyFont="1" applyFill="1" applyBorder="1" applyAlignment="1">
      <alignment horizontal="left" vertical="center"/>
    </xf>
    <xf numFmtId="0" fontId="3" fillId="0" borderId="4" xfId="0" applyFont="1"/>
    <xf numFmtId="0" fontId="6" fillId="0" borderId="1" xfId="0" applyFont="1" applyBorder="1"/>
    <xf numFmtId="164" fontId="6" fillId="0" borderId="1" xfId="0" applyNumberFormat="1" applyFont="1" applyBorder="1"/>
    <xf numFmtId="0" fontId="7" fillId="4" borderId="1" xfId="0" applyFont="1" applyFill="1" applyBorder="1" applyAlignment="1">
      <alignment horizontal="left" vertical="center"/>
    </xf>
    <xf numFmtId="0" fontId="0" fillId="0" borderId="5" xfId="0" applyBorder="1"/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0" fillId="0" borderId="4" xfId="0"/>
    <xf numFmtId="0" fontId="0" fillId="0" borderId="3" xfId="0" applyBorder="1"/>
    <xf numFmtId="0" fontId="2" fillId="0" borderId="4" xfId="0" applyFont="1" applyAlignment="1">
      <alignment horizontal="center" vertical="center"/>
    </xf>
    <xf numFmtId="164" fontId="3" fillId="0" borderId="4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0" fillId="0" borderId="0" xfId="0" applyBorder="1"/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/>
    <xf numFmtId="0" fontId="5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421821</xdr:colOff>
      <xdr:row>1</xdr:row>
      <xdr:rowOff>27214</xdr:rowOff>
    </xdr:from>
    <xdr:to>
      <xdr:col>0</xdr:col>
      <xdr:colOff>1170214</xdr:colOff>
      <xdr:row>4</xdr:row>
      <xdr:rowOff>162662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C7025-5BF7-7BA1-69B1-81A12162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21" y="299357"/>
          <a:ext cx="748393" cy="7477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"/>
  <sheetViews>
    <sheetView showGridLines="0" tabSelected="1" showWhiteSpace="0" topLeftCell="A28" zoomScale="70" zoomScaleNormal="70" zoomScaleSheetLayoutView="56" zoomScalePageLayoutView="60" workbookViewId="0">
      <selection activeCell="I67" sqref="I67"/>
    </sheetView>
  </sheetViews>
  <sheetFormatPr defaultRowHeight="15" x14ac:dyDescent="0.25"/>
  <cols>
    <col min="1" max="1" width="26" customWidth="1"/>
    <col min="2" max="3" width="13.85546875" customWidth="1"/>
    <col min="4" max="4" width="14" customWidth="1"/>
    <col min="5" max="5" width="25.140625" bestFit="1" customWidth="1"/>
    <col min="6" max="6" width="22" customWidth="1"/>
    <col min="7" max="7" width="25.7109375" bestFit="1" customWidth="1"/>
    <col min="8" max="8" width="21.85546875" bestFit="1" customWidth="1"/>
    <col min="9" max="9" width="22" customWidth="1"/>
    <col min="10" max="10" width="12" customWidth="1"/>
  </cols>
  <sheetData>
    <row r="1" spans="1:10" ht="21.6" customHeight="1" x14ac:dyDescent="0.25">
      <c r="A1" s="31" t="s">
        <v>0</v>
      </c>
      <c r="B1" s="32"/>
      <c r="C1" s="32"/>
      <c r="D1" s="32"/>
      <c r="E1" s="32"/>
      <c r="F1" s="32"/>
      <c r="G1" s="32"/>
      <c r="H1" s="33"/>
      <c r="I1" s="15"/>
      <c r="J1" s="15"/>
    </row>
    <row r="2" spans="1:10" ht="16.899999999999999" customHeight="1" x14ac:dyDescent="0.25">
      <c r="A2" s="39"/>
      <c r="B2" s="30" t="s">
        <v>1</v>
      </c>
      <c r="I2" s="15"/>
      <c r="J2" s="15"/>
    </row>
    <row r="3" spans="1:10" ht="16.899999999999999" customHeight="1" x14ac:dyDescent="0.25">
      <c r="A3" s="36"/>
      <c r="B3" s="30" t="s">
        <v>2</v>
      </c>
      <c r="I3" s="15"/>
      <c r="J3" s="15"/>
    </row>
    <row r="4" spans="1:10" ht="16.899999999999999" customHeight="1" x14ac:dyDescent="0.25">
      <c r="A4" s="36"/>
      <c r="B4" s="30" t="s">
        <v>3</v>
      </c>
      <c r="I4" s="15"/>
      <c r="J4" s="15"/>
    </row>
    <row r="5" spans="1:10" ht="16.899999999999999" customHeight="1" x14ac:dyDescent="0.25">
      <c r="A5" s="40"/>
      <c r="I5" s="15"/>
      <c r="J5" s="15"/>
    </row>
    <row r="6" spans="1:10" ht="16.899999999999999" customHeight="1" x14ac:dyDescent="0.25">
      <c r="A6" s="1" t="s">
        <v>4</v>
      </c>
      <c r="B6" s="37"/>
      <c r="C6" s="32"/>
      <c r="D6" s="33"/>
      <c r="F6" s="1" t="s">
        <v>5</v>
      </c>
      <c r="G6" s="2"/>
      <c r="I6" s="15"/>
      <c r="J6" s="15"/>
    </row>
    <row r="7" spans="1:10" ht="16.899999999999999" customHeight="1" x14ac:dyDescent="0.25">
      <c r="A7" s="1" t="s">
        <v>6</v>
      </c>
      <c r="B7" s="37"/>
      <c r="C7" s="32"/>
      <c r="D7" s="33"/>
      <c r="F7" s="1" t="s">
        <v>7</v>
      </c>
      <c r="G7" s="2"/>
      <c r="I7" s="15"/>
      <c r="J7" s="15"/>
    </row>
    <row r="8" spans="1:10" ht="16.899999999999999" customHeight="1" x14ac:dyDescent="0.25">
      <c r="A8" s="1" t="s">
        <v>8</v>
      </c>
      <c r="B8" s="37"/>
      <c r="C8" s="32"/>
      <c r="D8" s="33"/>
      <c r="F8" s="1" t="s">
        <v>9</v>
      </c>
      <c r="G8" s="2"/>
      <c r="I8" s="15"/>
      <c r="J8" s="15"/>
    </row>
    <row r="9" spans="1:10" ht="16.899999999999999" customHeight="1" x14ac:dyDescent="0.25">
      <c r="I9" s="15"/>
      <c r="J9" s="15"/>
    </row>
    <row r="10" spans="1:10" ht="16.899999999999999" customHeight="1" x14ac:dyDescent="0.25">
      <c r="A10" s="42" t="s">
        <v>10</v>
      </c>
      <c r="B10" s="32"/>
      <c r="C10" s="32"/>
      <c r="D10" s="32"/>
      <c r="E10" s="32"/>
      <c r="F10" s="32"/>
      <c r="G10" s="32"/>
      <c r="H10" s="33"/>
      <c r="I10" s="15"/>
      <c r="J10" s="15"/>
    </row>
    <row r="11" spans="1:10" ht="16.899999999999999" customHeight="1" x14ac:dyDescent="0.25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15"/>
      <c r="J11" s="15"/>
    </row>
    <row r="12" spans="1:10" ht="16.899999999999999" customHeight="1" x14ac:dyDescent="0.25">
      <c r="A12" s="4" t="s">
        <v>19</v>
      </c>
      <c r="B12" s="5"/>
      <c r="C12" s="5"/>
      <c r="D12" s="5"/>
      <c r="E12" s="6">
        <v>172.94</v>
      </c>
      <c r="F12" s="6">
        <v>232.74</v>
      </c>
      <c r="G12" s="6">
        <v>292.55</v>
      </c>
      <c r="H12" s="7">
        <f t="shared" ref="H12:H22" si="0">B12*E12+C12*F12+D12*G12</f>
        <v>0</v>
      </c>
      <c r="I12" s="15"/>
      <c r="J12" s="15"/>
    </row>
    <row r="13" spans="1:10" ht="16.899999999999999" customHeight="1" x14ac:dyDescent="0.25">
      <c r="A13" s="4" t="s">
        <v>20</v>
      </c>
      <c r="B13" s="5"/>
      <c r="C13" s="5"/>
      <c r="D13" s="5"/>
      <c r="E13" s="6">
        <v>162.94</v>
      </c>
      <c r="F13" s="6">
        <v>217.75</v>
      </c>
      <c r="G13" s="6">
        <v>272.55</v>
      </c>
      <c r="H13" s="7">
        <f t="shared" si="0"/>
        <v>0</v>
      </c>
      <c r="I13" s="15"/>
      <c r="J13" s="15"/>
    </row>
    <row r="14" spans="1:10" ht="16.899999999999999" customHeight="1" x14ac:dyDescent="0.25">
      <c r="A14" s="4" t="s">
        <v>21</v>
      </c>
      <c r="B14" s="5"/>
      <c r="C14" s="5"/>
      <c r="D14" s="5"/>
      <c r="E14" s="6">
        <v>152.97999999999999</v>
      </c>
      <c r="F14" s="6">
        <v>202.8</v>
      </c>
      <c r="G14" s="6">
        <v>252.63</v>
      </c>
      <c r="H14" s="7">
        <f t="shared" si="0"/>
        <v>0</v>
      </c>
      <c r="I14" s="15"/>
      <c r="J14" s="15"/>
    </row>
    <row r="15" spans="1:10" ht="16.899999999999999" customHeight="1" x14ac:dyDescent="0.25">
      <c r="A15" s="4" t="s">
        <v>22</v>
      </c>
      <c r="B15" s="5"/>
      <c r="C15" s="5"/>
      <c r="D15" s="5"/>
      <c r="E15" s="6">
        <v>125.73</v>
      </c>
      <c r="F15" s="6">
        <v>163.1</v>
      </c>
      <c r="G15" s="6">
        <v>200.47</v>
      </c>
      <c r="H15" s="7">
        <f t="shared" si="0"/>
        <v>0</v>
      </c>
      <c r="I15" s="15"/>
      <c r="J15" s="15"/>
    </row>
    <row r="16" spans="1:10" ht="16.899999999999999" customHeight="1" x14ac:dyDescent="0.25">
      <c r="A16" s="4" t="s">
        <v>23</v>
      </c>
      <c r="B16" s="5"/>
      <c r="C16" s="5"/>
      <c r="D16" s="5"/>
      <c r="E16" s="6">
        <v>146.30000000000001</v>
      </c>
      <c r="F16" s="6">
        <v>199.38</v>
      </c>
      <c r="G16" s="6">
        <v>252.45</v>
      </c>
      <c r="H16" s="7">
        <f t="shared" si="0"/>
        <v>0</v>
      </c>
      <c r="I16" s="15"/>
      <c r="J16" s="15"/>
    </row>
    <row r="17" spans="1:10" ht="16.899999999999999" customHeight="1" x14ac:dyDescent="0.25">
      <c r="A17" s="4" t="s">
        <v>24</v>
      </c>
      <c r="B17" s="5"/>
      <c r="C17" s="5"/>
      <c r="D17" s="5"/>
      <c r="E17" s="6">
        <v>141.75</v>
      </c>
      <c r="F17" s="6">
        <v>192.57</v>
      </c>
      <c r="G17" s="6">
        <v>243.39</v>
      </c>
      <c r="H17" s="7">
        <f t="shared" si="0"/>
        <v>0</v>
      </c>
      <c r="I17" s="15"/>
      <c r="J17" s="15"/>
    </row>
    <row r="18" spans="1:10" ht="16.899999999999999" customHeight="1" x14ac:dyDescent="0.25">
      <c r="A18" s="4" t="s">
        <v>25</v>
      </c>
      <c r="B18" s="5"/>
      <c r="C18" s="5"/>
      <c r="D18" s="5"/>
      <c r="E18" s="6">
        <v>137.19</v>
      </c>
      <c r="F18" s="6">
        <v>185.76</v>
      </c>
      <c r="G18" s="6">
        <v>234.34</v>
      </c>
      <c r="H18" s="7">
        <f t="shared" si="0"/>
        <v>0</v>
      </c>
      <c r="I18" s="15"/>
      <c r="J18" s="15"/>
    </row>
    <row r="19" spans="1:10" ht="16.899999999999999" customHeight="1" x14ac:dyDescent="0.25">
      <c r="A19" s="4" t="s">
        <v>26</v>
      </c>
      <c r="B19" s="5"/>
      <c r="C19" s="5"/>
      <c r="D19" s="5"/>
      <c r="E19" s="6">
        <v>129.88999999999999</v>
      </c>
      <c r="F19" s="6">
        <v>174.86</v>
      </c>
      <c r="G19" s="6">
        <v>219.84</v>
      </c>
      <c r="H19" s="7">
        <f t="shared" si="0"/>
        <v>0</v>
      </c>
      <c r="I19" s="15"/>
      <c r="J19" s="15"/>
    </row>
    <row r="20" spans="1:10" ht="16.899999999999999" customHeight="1" x14ac:dyDescent="0.25">
      <c r="A20" s="4" t="s">
        <v>27</v>
      </c>
      <c r="B20" s="5"/>
      <c r="C20" s="5"/>
      <c r="D20" s="5"/>
      <c r="E20" s="6">
        <v>112.65</v>
      </c>
      <c r="F20" s="6">
        <v>150.87</v>
      </c>
      <c r="G20" s="6">
        <v>189.1</v>
      </c>
      <c r="H20" s="7">
        <f t="shared" si="0"/>
        <v>0</v>
      </c>
      <c r="I20" s="15"/>
      <c r="J20" s="15"/>
    </row>
    <row r="21" spans="1:10" ht="16.899999999999999" customHeight="1" x14ac:dyDescent="0.25">
      <c r="A21" s="4" t="s">
        <v>28</v>
      </c>
      <c r="B21" s="5"/>
      <c r="C21" s="5"/>
      <c r="D21" s="5"/>
      <c r="E21" s="6">
        <v>80.53</v>
      </c>
      <c r="F21" s="6">
        <v>105.27</v>
      </c>
      <c r="G21" s="6">
        <v>130</v>
      </c>
      <c r="H21" s="7">
        <f t="shared" si="0"/>
        <v>0</v>
      </c>
      <c r="I21" s="15"/>
      <c r="J21" s="15"/>
    </row>
    <row r="22" spans="1:10" ht="16.899999999999999" customHeight="1" x14ac:dyDescent="0.25">
      <c r="A22" s="4" t="s">
        <v>29</v>
      </c>
      <c r="B22" s="5"/>
      <c r="C22" s="5"/>
      <c r="D22" s="5"/>
      <c r="E22" s="6">
        <v>108.37</v>
      </c>
      <c r="F22" s="6">
        <v>148.85</v>
      </c>
      <c r="G22" s="6">
        <v>189.32</v>
      </c>
      <c r="H22" s="7">
        <f t="shared" si="0"/>
        <v>0</v>
      </c>
      <c r="I22" s="15"/>
      <c r="J22" s="15"/>
    </row>
    <row r="23" spans="1:10" ht="16.899999999999999" customHeight="1" x14ac:dyDescent="0.25">
      <c r="A23" s="8" t="s">
        <v>30</v>
      </c>
      <c r="B23" s="9"/>
      <c r="C23" s="9"/>
      <c r="D23" s="9"/>
      <c r="E23" s="9"/>
      <c r="F23" s="9"/>
      <c r="G23" s="9"/>
      <c r="H23" s="10">
        <f>SUM(H12:H22)</f>
        <v>0</v>
      </c>
      <c r="I23" s="15"/>
      <c r="J23" s="15"/>
    </row>
    <row r="24" spans="1:10" ht="16.899999999999999" customHeight="1" x14ac:dyDescent="0.25">
      <c r="I24" s="15"/>
      <c r="J24" s="15"/>
    </row>
    <row r="25" spans="1:10" ht="16.899999999999999" customHeight="1" x14ac:dyDescent="0.25">
      <c r="A25" s="20" t="s">
        <v>31</v>
      </c>
      <c r="B25" s="21"/>
      <c r="C25" s="21"/>
      <c r="D25" s="21"/>
      <c r="E25" s="21"/>
      <c r="F25" s="23"/>
      <c r="G25" s="23"/>
      <c r="H25" s="23"/>
      <c r="I25" s="15"/>
      <c r="J25" s="15"/>
    </row>
    <row r="26" spans="1:10" ht="16.899999999999999" customHeight="1" x14ac:dyDescent="0.25">
      <c r="A26" s="3" t="s">
        <v>32</v>
      </c>
      <c r="B26" s="3" t="s">
        <v>33</v>
      </c>
      <c r="C26" s="3" t="s">
        <v>34</v>
      </c>
      <c r="D26" s="3" t="s">
        <v>35</v>
      </c>
      <c r="E26" s="3" t="s">
        <v>18</v>
      </c>
      <c r="F26" s="27"/>
      <c r="G26" s="28"/>
      <c r="H26" s="28"/>
      <c r="I26" s="15"/>
      <c r="J26" s="15"/>
    </row>
    <row r="27" spans="1:10" ht="16.899999999999999" customHeight="1" x14ac:dyDescent="0.25">
      <c r="A27" s="4" t="s">
        <v>36</v>
      </c>
      <c r="B27" s="5"/>
      <c r="C27" s="11" t="s">
        <v>37</v>
      </c>
      <c r="D27" s="6">
        <v>300</v>
      </c>
      <c r="E27" s="7">
        <f t="shared" ref="E27:E41" si="1">B27*D27</f>
        <v>0</v>
      </c>
      <c r="F27" s="23"/>
      <c r="G27" s="23"/>
      <c r="H27" s="23"/>
      <c r="I27" s="15"/>
      <c r="J27" s="15"/>
    </row>
    <row r="28" spans="1:10" ht="16.899999999999999" customHeight="1" x14ac:dyDescent="0.25">
      <c r="A28" s="4" t="s">
        <v>38</v>
      </c>
      <c r="B28" s="5"/>
      <c r="C28" s="11" t="s">
        <v>37</v>
      </c>
      <c r="D28" s="6">
        <v>75</v>
      </c>
      <c r="E28" s="7">
        <f t="shared" si="1"/>
        <v>0</v>
      </c>
      <c r="F28" s="23"/>
      <c r="G28" s="23"/>
      <c r="H28" s="23"/>
      <c r="I28" s="15"/>
      <c r="J28" s="15"/>
    </row>
    <row r="29" spans="1:10" ht="16.899999999999999" customHeight="1" x14ac:dyDescent="0.25">
      <c r="A29" s="4" t="s">
        <v>39</v>
      </c>
      <c r="B29" s="5"/>
      <c r="C29" s="11" t="s">
        <v>37</v>
      </c>
      <c r="D29" s="6">
        <v>75</v>
      </c>
      <c r="E29" s="7">
        <f t="shared" si="1"/>
        <v>0</v>
      </c>
      <c r="F29" s="23"/>
      <c r="G29" s="23"/>
      <c r="H29" s="23"/>
      <c r="I29" s="15"/>
      <c r="J29" s="15"/>
    </row>
    <row r="30" spans="1:10" ht="16.899999999999999" customHeight="1" x14ac:dyDescent="0.25">
      <c r="A30" s="4" t="s">
        <v>40</v>
      </c>
      <c r="B30" s="5"/>
      <c r="C30" s="11" t="s">
        <v>37</v>
      </c>
      <c r="D30" s="6">
        <v>75</v>
      </c>
      <c r="E30" s="7">
        <f t="shared" si="1"/>
        <v>0</v>
      </c>
      <c r="F30" s="23"/>
      <c r="G30" s="23"/>
      <c r="H30" s="23"/>
      <c r="I30" s="15"/>
      <c r="J30" s="15"/>
    </row>
    <row r="31" spans="1:10" ht="16.899999999999999" customHeight="1" x14ac:dyDescent="0.25">
      <c r="A31" s="4" t="s">
        <v>41</v>
      </c>
      <c r="B31" s="5"/>
      <c r="C31" s="11" t="s">
        <v>37</v>
      </c>
      <c r="D31" s="6">
        <v>20</v>
      </c>
      <c r="E31" s="7">
        <f t="shared" si="1"/>
        <v>0</v>
      </c>
      <c r="F31" s="23"/>
      <c r="G31" s="23"/>
      <c r="H31" s="23"/>
      <c r="I31" s="15"/>
      <c r="J31" s="15"/>
    </row>
    <row r="32" spans="1:10" ht="16.899999999999999" customHeight="1" x14ac:dyDescent="0.25">
      <c r="A32" s="4" t="s">
        <v>42</v>
      </c>
      <c r="B32" s="5"/>
      <c r="C32" s="11" t="s">
        <v>37</v>
      </c>
      <c r="D32" s="6">
        <v>25</v>
      </c>
      <c r="E32" s="7">
        <f t="shared" si="1"/>
        <v>0</v>
      </c>
      <c r="F32" s="23"/>
      <c r="G32" s="23"/>
      <c r="H32" s="23"/>
      <c r="I32" s="15"/>
      <c r="J32" s="15"/>
    </row>
    <row r="33" spans="1:10" ht="16.899999999999999" customHeight="1" x14ac:dyDescent="0.25">
      <c r="A33" s="4" t="s">
        <v>43</v>
      </c>
      <c r="B33" s="5"/>
      <c r="C33" s="11" t="s">
        <v>37</v>
      </c>
      <c r="D33" s="6">
        <v>30</v>
      </c>
      <c r="E33" s="7">
        <f t="shared" si="1"/>
        <v>0</v>
      </c>
      <c r="F33" s="23"/>
      <c r="G33" s="23"/>
      <c r="H33" s="23"/>
      <c r="I33" s="15"/>
      <c r="J33" s="15"/>
    </row>
    <row r="34" spans="1:10" ht="16.899999999999999" customHeight="1" x14ac:dyDescent="0.25">
      <c r="A34" s="4" t="s">
        <v>44</v>
      </c>
      <c r="B34" s="5"/>
      <c r="C34" s="11" t="s">
        <v>37</v>
      </c>
      <c r="D34" s="6">
        <v>75</v>
      </c>
      <c r="E34" s="7">
        <f t="shared" si="1"/>
        <v>0</v>
      </c>
      <c r="F34" s="23"/>
      <c r="G34" s="23"/>
      <c r="H34" s="23"/>
      <c r="I34" s="15"/>
      <c r="J34" s="15"/>
    </row>
    <row r="35" spans="1:10" ht="16.899999999999999" customHeight="1" x14ac:dyDescent="0.25">
      <c r="A35" s="4" t="s">
        <v>45</v>
      </c>
      <c r="B35" s="5"/>
      <c r="C35" s="11" t="s">
        <v>37</v>
      </c>
      <c r="D35" s="6">
        <v>75</v>
      </c>
      <c r="E35" s="7">
        <f t="shared" si="1"/>
        <v>0</v>
      </c>
      <c r="F35" s="23"/>
      <c r="G35" s="23"/>
      <c r="H35" s="23"/>
      <c r="I35" s="15"/>
      <c r="J35" s="15"/>
    </row>
    <row r="36" spans="1:10" ht="16.899999999999999" customHeight="1" x14ac:dyDescent="0.25">
      <c r="A36" s="4" t="s">
        <v>46</v>
      </c>
      <c r="B36" s="5"/>
      <c r="C36" s="11" t="s">
        <v>37</v>
      </c>
      <c r="D36" s="6">
        <v>45</v>
      </c>
      <c r="E36" s="7">
        <f t="shared" si="1"/>
        <v>0</v>
      </c>
      <c r="F36" s="23"/>
      <c r="G36" s="23"/>
      <c r="H36" s="23"/>
      <c r="I36" s="15"/>
      <c r="J36" s="15"/>
    </row>
    <row r="37" spans="1:10" ht="16.899999999999999" customHeight="1" x14ac:dyDescent="0.25">
      <c r="A37" s="4" t="s">
        <v>47</v>
      </c>
      <c r="B37" s="5"/>
      <c r="C37" s="11" t="s">
        <v>37</v>
      </c>
      <c r="D37" s="6">
        <v>20</v>
      </c>
      <c r="E37" s="7">
        <f t="shared" si="1"/>
        <v>0</v>
      </c>
      <c r="F37" s="23"/>
      <c r="G37" s="23"/>
      <c r="H37" s="23"/>
      <c r="I37" s="15"/>
      <c r="J37" s="15"/>
    </row>
    <row r="38" spans="1:10" ht="16.899999999999999" customHeight="1" x14ac:dyDescent="0.25">
      <c r="A38" s="4" t="s">
        <v>48</v>
      </c>
      <c r="B38" s="5"/>
      <c r="C38" s="11" t="s">
        <v>37</v>
      </c>
      <c r="D38" s="6">
        <v>115</v>
      </c>
      <c r="E38" s="7">
        <f t="shared" si="1"/>
        <v>0</v>
      </c>
      <c r="F38" s="23"/>
      <c r="G38" s="23"/>
      <c r="H38" s="23"/>
      <c r="I38" s="15"/>
      <c r="J38" s="15"/>
    </row>
    <row r="39" spans="1:10" ht="16.899999999999999" customHeight="1" x14ac:dyDescent="0.25">
      <c r="A39" s="4" t="s">
        <v>49</v>
      </c>
      <c r="B39" s="5"/>
      <c r="C39" s="11" t="s">
        <v>37</v>
      </c>
      <c r="D39" s="6">
        <v>32</v>
      </c>
      <c r="E39" s="7">
        <f t="shared" si="1"/>
        <v>0</v>
      </c>
      <c r="F39" s="23"/>
      <c r="G39" s="23"/>
      <c r="H39" s="23"/>
      <c r="I39" s="15"/>
      <c r="J39" s="15"/>
    </row>
    <row r="40" spans="1:10" ht="16.899999999999999" customHeight="1" x14ac:dyDescent="0.25">
      <c r="A40" s="4" t="s">
        <v>50</v>
      </c>
      <c r="B40" s="5"/>
      <c r="C40" s="11" t="s">
        <v>37</v>
      </c>
      <c r="D40" s="6">
        <v>55</v>
      </c>
      <c r="E40" s="7">
        <f t="shared" si="1"/>
        <v>0</v>
      </c>
      <c r="F40" s="23"/>
      <c r="G40" s="23"/>
      <c r="H40" s="23"/>
      <c r="I40" s="15"/>
      <c r="J40" s="15"/>
    </row>
    <row r="41" spans="1:10" ht="16.899999999999999" customHeight="1" x14ac:dyDescent="0.25">
      <c r="A41" s="4" t="s">
        <v>51</v>
      </c>
      <c r="B41" s="5"/>
      <c r="C41" s="11" t="s">
        <v>37</v>
      </c>
      <c r="D41" s="6">
        <v>30</v>
      </c>
      <c r="E41" s="7">
        <f t="shared" si="1"/>
        <v>0</v>
      </c>
      <c r="F41" s="23"/>
      <c r="G41" s="23"/>
      <c r="H41" s="23"/>
      <c r="I41" s="19"/>
    </row>
    <row r="42" spans="1:10" ht="16.899999999999999" customHeight="1" x14ac:dyDescent="0.25">
      <c r="A42" s="8" t="s">
        <v>52</v>
      </c>
      <c r="B42" s="9"/>
      <c r="C42" s="9"/>
      <c r="D42" s="9"/>
      <c r="E42" s="10">
        <f>SUM(E27:E41)</f>
        <v>0</v>
      </c>
      <c r="F42" s="27"/>
      <c r="G42" s="28"/>
      <c r="H42" s="28"/>
    </row>
    <row r="43" spans="1:10" ht="16.899999999999999" customHeight="1" x14ac:dyDescent="0.25">
      <c r="F43" s="23"/>
      <c r="G43" s="23"/>
      <c r="H43" s="23"/>
    </row>
    <row r="44" spans="1:10" ht="16.899999999999999" customHeight="1" x14ac:dyDescent="0.25">
      <c r="A44" s="20" t="s">
        <v>53</v>
      </c>
      <c r="B44" s="21"/>
      <c r="C44" s="29"/>
      <c r="E44" s="20" t="s">
        <v>54</v>
      </c>
      <c r="F44" s="21"/>
      <c r="G44" s="29"/>
    </row>
    <row r="45" spans="1:10" ht="16.899999999999999" customHeight="1" x14ac:dyDescent="0.25">
      <c r="A45" s="3" t="s">
        <v>55</v>
      </c>
      <c r="B45" s="3" t="s">
        <v>56</v>
      </c>
      <c r="C45" s="3"/>
      <c r="E45" s="3" t="s">
        <v>57</v>
      </c>
      <c r="F45" s="3" t="s">
        <v>6</v>
      </c>
      <c r="G45" s="3" t="s">
        <v>56</v>
      </c>
    </row>
    <row r="46" spans="1:10" ht="16.899999999999999" customHeight="1" x14ac:dyDescent="0.25">
      <c r="A46" s="4"/>
      <c r="B46" s="12"/>
      <c r="C46" s="11"/>
      <c r="E46" s="4"/>
      <c r="F46" s="4"/>
      <c r="G46" s="7"/>
    </row>
    <row r="47" spans="1:10" ht="16.899999999999999" customHeight="1" x14ac:dyDescent="0.25">
      <c r="A47" s="4"/>
      <c r="B47" s="12"/>
      <c r="C47" s="11"/>
      <c r="E47" s="4"/>
      <c r="F47" s="4"/>
      <c r="G47" s="7"/>
    </row>
    <row r="48" spans="1:10" ht="16.899999999999999" customHeight="1" x14ac:dyDescent="0.25">
      <c r="A48" s="4"/>
      <c r="B48" s="12"/>
      <c r="C48" s="11"/>
      <c r="E48" s="4"/>
      <c r="F48" s="4"/>
      <c r="G48" s="7"/>
    </row>
    <row r="49" spans="1:8" ht="16.899999999999999" customHeight="1" x14ac:dyDescent="0.25">
      <c r="A49" s="4"/>
      <c r="B49" s="12"/>
      <c r="C49" s="11"/>
      <c r="E49" s="4"/>
      <c r="F49" s="4"/>
      <c r="G49" s="7"/>
    </row>
    <row r="50" spans="1:8" ht="16.899999999999999" customHeight="1" x14ac:dyDescent="0.25">
      <c r="A50" s="4"/>
      <c r="B50" s="12"/>
      <c r="C50" s="11"/>
      <c r="E50" s="4"/>
      <c r="F50" s="4"/>
      <c r="G50" s="7"/>
    </row>
    <row r="51" spans="1:8" ht="16.899999999999999" customHeight="1" x14ac:dyDescent="0.25">
      <c r="A51" s="4"/>
      <c r="B51" s="12"/>
      <c r="C51" s="11"/>
      <c r="E51" s="18" t="s">
        <v>58</v>
      </c>
      <c r="F51" s="24"/>
      <c r="G51" s="22">
        <f>SUM(G46:G50)</f>
        <v>0</v>
      </c>
    </row>
    <row r="52" spans="1:8" ht="16.899999999999999" customHeight="1" x14ac:dyDescent="0.25">
      <c r="A52" s="4"/>
      <c r="B52" s="12"/>
      <c r="C52" s="11"/>
    </row>
    <row r="53" spans="1:8" ht="16.899999999999999" customHeight="1" x14ac:dyDescent="0.25">
      <c r="A53" s="16" t="s">
        <v>59</v>
      </c>
      <c r="B53" s="17">
        <f>SUM(B46:B52)</f>
        <v>0</v>
      </c>
      <c r="E53" s="20" t="s">
        <v>60</v>
      </c>
      <c r="F53" s="21"/>
      <c r="G53" s="21"/>
      <c r="H53" s="21"/>
    </row>
    <row r="54" spans="1:8" ht="16.899999999999999" customHeight="1" x14ac:dyDescent="0.25">
      <c r="E54" s="3" t="s">
        <v>32</v>
      </c>
      <c r="F54" s="3" t="s">
        <v>56</v>
      </c>
      <c r="G54" s="3" t="s">
        <v>61</v>
      </c>
      <c r="H54" s="3" t="s">
        <v>62</v>
      </c>
    </row>
    <row r="55" spans="1:8" ht="16.899999999999999" customHeight="1" x14ac:dyDescent="0.25">
      <c r="A55" s="35" t="s">
        <v>63</v>
      </c>
      <c r="B55" s="36"/>
      <c r="C55" s="36"/>
      <c r="E55" s="4" t="s">
        <v>30</v>
      </c>
      <c r="F55" s="13">
        <f>H23</f>
        <v>0</v>
      </c>
      <c r="G55" s="4" t="s">
        <v>64</v>
      </c>
      <c r="H55" s="14">
        <v>0</v>
      </c>
    </row>
    <row r="56" spans="1:8" ht="16.899999999999999" customHeight="1" x14ac:dyDescent="0.25">
      <c r="A56" s="34" t="s">
        <v>6</v>
      </c>
      <c r="B56" s="33"/>
      <c r="C56" s="3" t="s">
        <v>56</v>
      </c>
      <c r="E56" s="4" t="s">
        <v>52</v>
      </c>
      <c r="F56" s="13">
        <f>E42</f>
        <v>0</v>
      </c>
      <c r="G56" s="4" t="s">
        <v>65</v>
      </c>
      <c r="H56" s="13">
        <f>B53*H55</f>
        <v>0</v>
      </c>
    </row>
    <row r="57" spans="1:8" ht="16.899999999999999" customHeight="1" x14ac:dyDescent="0.25">
      <c r="A57" s="38"/>
      <c r="B57" s="33"/>
      <c r="C57" s="7"/>
      <c r="E57" s="4" t="s">
        <v>59</v>
      </c>
      <c r="F57" s="13">
        <f>B53</f>
        <v>0</v>
      </c>
      <c r="G57" s="4" t="s">
        <v>66</v>
      </c>
      <c r="H57" s="13">
        <f>B53+H56</f>
        <v>0</v>
      </c>
    </row>
    <row r="58" spans="1:8" ht="16.899999999999999" customHeight="1" x14ac:dyDescent="0.25">
      <c r="A58" s="38"/>
      <c r="B58" s="33"/>
      <c r="C58" s="7"/>
      <c r="E58" s="4" t="s">
        <v>65</v>
      </c>
      <c r="F58" s="13">
        <f>H56</f>
        <v>0</v>
      </c>
      <c r="G58" s="4"/>
      <c r="H58" s="4"/>
    </row>
    <row r="59" spans="1:8" ht="16.899999999999999" customHeight="1" x14ac:dyDescent="0.25">
      <c r="A59" s="43" t="s">
        <v>67</v>
      </c>
      <c r="B59" s="33"/>
      <c r="C59" s="22">
        <f>SUM(C57:C58)</f>
        <v>0</v>
      </c>
      <c r="E59" s="4" t="s">
        <v>66</v>
      </c>
      <c r="F59" s="13">
        <f>H57</f>
        <v>0</v>
      </c>
      <c r="G59" s="4" t="s">
        <v>68</v>
      </c>
      <c r="H59" s="14">
        <v>0</v>
      </c>
    </row>
    <row r="60" spans="1:8" ht="16.899999999999999" customHeight="1" x14ac:dyDescent="0.25">
      <c r="E60" s="4" t="s">
        <v>58</v>
      </c>
      <c r="F60" s="13">
        <f>G51</f>
        <v>0</v>
      </c>
      <c r="G60" s="4" t="s">
        <v>69</v>
      </c>
      <c r="H60" s="13">
        <f>G51*H59</f>
        <v>0</v>
      </c>
    </row>
    <row r="61" spans="1:8" ht="16.899999999999999" customHeight="1" x14ac:dyDescent="0.25">
      <c r="A61" s="41" t="s">
        <v>70</v>
      </c>
      <c r="B61" s="40"/>
      <c r="C61" s="40"/>
      <c r="E61" s="4" t="s">
        <v>69</v>
      </c>
      <c r="F61" s="13">
        <f>H60</f>
        <v>0</v>
      </c>
      <c r="G61" s="4" t="s">
        <v>71</v>
      </c>
      <c r="H61" s="13">
        <f>G51+H60</f>
        <v>0</v>
      </c>
    </row>
    <row r="62" spans="1:8" ht="16.899999999999999" customHeight="1" x14ac:dyDescent="0.25">
      <c r="A62" s="34" t="s">
        <v>6</v>
      </c>
      <c r="B62" s="33"/>
      <c r="C62" s="3" t="s">
        <v>56</v>
      </c>
      <c r="E62" s="4" t="s">
        <v>71</v>
      </c>
      <c r="F62" s="13">
        <f>H61</f>
        <v>0</v>
      </c>
      <c r="G62" s="7"/>
    </row>
    <row r="63" spans="1:8" ht="16.899999999999999" customHeight="1" x14ac:dyDescent="0.25">
      <c r="A63" s="38"/>
      <c r="B63" s="33"/>
      <c r="C63" s="7"/>
      <c r="E63" s="4" t="s">
        <v>67</v>
      </c>
      <c r="F63" s="13">
        <f>C59</f>
        <v>0</v>
      </c>
      <c r="G63" s="7"/>
    </row>
    <row r="64" spans="1:8" ht="16.899999999999999" customHeight="1" x14ac:dyDescent="0.25">
      <c r="A64" s="38"/>
      <c r="B64" s="33"/>
      <c r="C64" s="7"/>
      <c r="E64" s="4" t="s">
        <v>72</v>
      </c>
      <c r="F64" s="13">
        <f>C65</f>
        <v>0</v>
      </c>
      <c r="G64" s="7"/>
    </row>
    <row r="65" spans="1:10" ht="16.899999999999999" customHeight="1" x14ac:dyDescent="0.25">
      <c r="A65" s="43" t="s">
        <v>72</v>
      </c>
      <c r="B65" s="33"/>
      <c r="C65" s="22">
        <f>SUM(C63:C64)</f>
        <v>0</v>
      </c>
      <c r="E65" s="16" t="s">
        <v>73</v>
      </c>
      <c r="F65" s="17">
        <f>SUM(H23,E42,H57,H61,C59,C65)</f>
        <v>0</v>
      </c>
    </row>
    <row r="66" spans="1:10" ht="16.899999999999999" customHeight="1" x14ac:dyDescent="0.25"/>
    <row r="67" spans="1:10" ht="16.899999999999999" customHeight="1" x14ac:dyDescent="0.25">
      <c r="A67" s="34" t="s">
        <v>74</v>
      </c>
      <c r="B67" s="32"/>
      <c r="C67" s="32"/>
      <c r="D67" s="32"/>
      <c r="E67" s="32"/>
      <c r="F67" s="32"/>
      <c r="G67" s="32"/>
      <c r="H67" s="33"/>
    </row>
    <row r="68" spans="1:10" ht="17.649999999999999" customHeight="1" x14ac:dyDescent="0.25">
      <c r="B68" s="23"/>
      <c r="C68" s="25"/>
    </row>
    <row r="69" spans="1:10" ht="17.649999999999999" customHeight="1" x14ac:dyDescent="0.25">
      <c r="B69" s="23"/>
      <c r="C69" s="26"/>
    </row>
    <row r="70" spans="1:10" ht="17.649999999999999" customHeight="1" x14ac:dyDescent="0.25">
      <c r="B70" s="23"/>
      <c r="C70" s="26"/>
    </row>
    <row r="71" spans="1:10" ht="17.649999999999999" customHeight="1" x14ac:dyDescent="0.25">
      <c r="B71" s="23"/>
      <c r="C71" s="23"/>
    </row>
    <row r="72" spans="1:10" ht="17.649999999999999" customHeight="1" x14ac:dyDescent="0.25"/>
    <row r="73" spans="1:10" ht="17.649999999999999" customHeight="1" x14ac:dyDescent="0.25">
      <c r="I73" s="23"/>
      <c r="J73" s="23"/>
    </row>
  </sheetData>
  <mergeCells count="17">
    <mergeCell ref="A62:B62"/>
    <mergeCell ref="A67:H67"/>
    <mergeCell ref="A64:B64"/>
    <mergeCell ref="A59:B59"/>
    <mergeCell ref="A65:B65"/>
    <mergeCell ref="A63:B63"/>
    <mergeCell ref="A57:B57"/>
    <mergeCell ref="B8:D8"/>
    <mergeCell ref="A2:A5"/>
    <mergeCell ref="A61:C61"/>
    <mergeCell ref="A10:H10"/>
    <mergeCell ref="A58:B58"/>
    <mergeCell ref="A1:H1"/>
    <mergeCell ref="A56:B56"/>
    <mergeCell ref="A55:C55"/>
    <mergeCell ref="B6:D6"/>
    <mergeCell ref="B7:D7"/>
  </mergeCells>
  <dataValidations count="1">
    <dataValidation type="list" error="Choose a markup from the dropdown list." prompt="Select markup percentage" sqref="H55 H59" xr:uid="{00000000-0002-0000-0000-000000000000}">
      <formula1>"0%,5%,10%,12%,15%,20%,25%,30%,35%"</formula1>
    </dataValidation>
  </dataValidations>
  <printOptions horizontalCentered="1"/>
  <pageMargins left="0.25" right="0.25" top="0.4" bottom="0.4" header="0.2" footer="0.2"/>
  <pageSetup scale="6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Recap</vt:lpstr>
      <vt:lpstr>Recap!Print_Area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Cogan</cp:lastModifiedBy>
  <cp:lastPrinted>2026-03-25T22:15:04Z</cp:lastPrinted>
  <dcterms:created xsi:type="dcterms:W3CDTF">2026-03-25T20:30:39Z</dcterms:created>
  <dcterms:modified xsi:type="dcterms:W3CDTF">2026-03-26T11:57:11Z</dcterms:modified>
</cp:coreProperties>
</file>